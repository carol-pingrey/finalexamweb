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<sst xmlns="http://schemas.openxmlformats.org/spreadsheetml/2006/main" count="201" uniqueCount="88">
  <si>
    <t xml:space="preserve">Avancement</t>
  </si>
  <si>
    <t xml:space="preserve">Qui</t>
  </si>
  <si>
    <t xml:space="preserve">Somme des Estimations</t>
  </si>
  <si>
    <t xml:space="preserve">ANDIE</t>
  </si>
  <si>
    <t xml:space="preserve">NY AIKO</t>
  </si>
  <si>
    <t xml:space="preserve">TAHIANA</t>
  </si>
  <si>
    <t xml:space="preserve">Ligne</t>
  </si>
  <si>
    <t xml:space="preserve">Catégorie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</si>
  <si>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</si>
  <si>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</si>
  <si>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</si>
  <si>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</si>
  <si>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</si>
  <si>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</si>
  <si>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</si>
  <si>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Status</t>
  </si>
  <si>
    <t xml:space="preserve">Web</t>
  </si>
  <si>
    <t xml:space="preserve">BDD</t>
  </si>
  <si>
    <t xml:space="preserve">data.sql</t>
  </si>
  <si>
    <t xml:space="preserve">Création table</t>
  </si>
  <si>
    <t xml:space="preserve">Base</t>
  </si>
  <si>
    <t xml:space="preserve">Terminé</t>
  </si>
  <si>
    <t xml:space="preserve">Donnée test</t>
  </si>
  <si>
    <t xml:space="preserve">PDO</t>
  </si>
  <si>
    <t xml:space="preserve">config.php</t>
  </si>
  <si>
    <t xml:space="preserve">Connexion base</t>
  </si>
  <si>
    <t xml:space="preserve">Connexion</t>
  </si>
  <si>
    <t xml:space="preserve">Requete</t>
  </si>
  <si>
    <t xml:space="preserve">objetModel.php</t>
  </si>
  <si>
    <t xml:space="preserve">Objet Modele</t>
  </si>
  <si>
    <t xml:space="preserve">Model</t>
  </si>
  <si>
    <t xml:space="preserve">regionModel.php</t>
  </si>
  <si>
    <t xml:space="preserve">Région Modele</t>
  </si>
  <si>
    <t xml:space="preserve">villeModel.php</t>
  </si>
  <si>
    <t xml:space="preserve">Ville Modele</t>
  </si>
  <si>
    <t xml:space="preserve">Dashboard</t>
  </si>
  <si>
    <t xml:space="preserve">accueil.php</t>
  </si>
  <si>
    <t xml:space="preserve">Formulaire ville</t>
  </si>
  <si>
    <t xml:space="preserve">Insertion</t>
  </si>
  <si>
    <t xml:space="preserve">Formulaire objet</t>
  </si>
  <si>
    <t xml:space="preserve">Configuration réduction</t>
  </si>
  <si>
    <t xml:space="preserve">Besoin</t>
  </si>
  <si>
    <t xml:space="preserve">Affichage</t>
  </si>
  <si>
    <t xml:space="preserve">Routes</t>
  </si>
  <si>
    <t xml:space="preserve">Don</t>
  </si>
  <si>
    <t xml:space="preserve">Donation</t>
  </si>
  <si>
    <t xml:space="preserve">attribution.php</t>
  </si>
  <si>
    <t xml:space="preserve">Attribuer don</t>
  </si>
  <si>
    <t xml:space="preserve">Stock besoin</t>
  </si>
  <si>
    <t xml:space="preserve">besoin.php</t>
  </si>
  <si>
    <t xml:space="preserve">Formulaire besoin</t>
  </si>
  <si>
    <t xml:space="preserve">Filtre</t>
  </si>
  <si>
    <t xml:space="preserve">besoinModel.php</t>
  </si>
  <si>
    <t xml:space="preserve">Model besoin</t>
  </si>
  <si>
    <t xml:space="preserve">Stock don</t>
  </si>
  <si>
    <t xml:space="preserve">don.php</t>
  </si>
  <si>
    <t xml:space="preserve">Formulaire don</t>
  </si>
  <si>
    <t xml:space="preserve">donModel.php</t>
  </si>
  <si>
    <t xml:space="preserve">Model don</t>
  </si>
  <si>
    <t xml:space="preserve">Achat</t>
  </si>
  <si>
    <t xml:space="preserve">saisir_achat.php</t>
  </si>
  <si>
    <t xml:space="preserve">Achat ressources</t>
  </si>
  <si>
    <t xml:space="preserve">Vente</t>
  </si>
  <si>
    <t xml:space="preserve">vente.php</t>
  </si>
  <si>
    <t xml:space="preserve">Vente don</t>
  </si>
  <si>
    <t xml:space="preserve">Récapitulation</t>
  </si>
  <si>
    <t xml:space="preserve">recap.php</t>
  </si>
  <si>
    <t xml:space="preserve">Récapitulation </t>
  </si>
  <si>
    <t xml:space="preserve">achat.php</t>
  </si>
  <si>
    <t xml:space="preserve">Historique Achat</t>
  </si>
  <si>
    <t xml:space="preserve">Redirection</t>
  </si>
  <si>
    <t xml:space="preserve">routes.php</t>
  </si>
  <si>
    <t xml:space="preserve">Redirection URL</t>
  </si>
  <si>
    <t xml:space="preserve">Model + View</t>
  </si>
  <si>
    <t xml:space="preserve">AuthController.php</t>
  </si>
  <si>
    <t xml:space="preserve">Méthode</t>
  </si>
  <si>
    <t xml:space="preserve">Controlleur</t>
  </si>
  <si>
    <t xml:space="preserve">Design</t>
  </si>
  <si>
    <t xml:space="preserve">style,css</t>
  </si>
  <si>
    <t xml:space="preserve">Esthétique</t>
  </si>
  <si>
    <t xml:space="preserve">CSS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</si>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</sst>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 %"/>
    <numFmt numFmtId="166" formatCode="0\ %"/>
    <numFmt numFmtId="167" formatCode="d/m"/>
  </numFmts>
  <fonts count="11">
    <font>
      <sz val="12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Aptos Narrow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11111"/>
      <name val="Aptos Narrow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95DCF7"/>
        <bgColor rgb="FFCCCC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3203125" defaultRowHeight="12.8" customHeight="true" zeroHeight="false" outlineLevelRow="0" outlineLevelCol="0"/>
  <cols>
    <col collapsed="false" customWidth="true" hidden="false" outlineLevel="0" max="2" min="2" style="1" width="22.09"/>
  </cols>
  <sheetData>
    <row r="1" customFormat="false" ht="13.8" hidden="false" customHeight="false" outlineLevel="0" collapsed="false">
      <c r="A1" s="2" t="s">
        <v>0</v>
      </c>
      <c r="B1" s="3" t="n">
        <v>1</v>
      </c>
    </row>
    <row r="2" customFormat="false" ht="13.8" hidden="false" customHeight="false" outlineLevel="0" collapsed="false">
      <c r="A2" s="4" t="s">
        <v>1</v>
      </c>
      <c r="B2" s="4" t="s">
        <v>2</v>
      </c>
    </row>
    <row r="3" customFormat="false" ht="13.8" hidden="false" customHeight="false" outlineLevel="0" collapsed="false">
      <c r="A3" s="5" t="s">
        <v>3</v>
      </c>
      <c r="B3" s="5" t="n">
        <v>241</v>
      </c>
    </row>
    <row r="4" customFormat="false" ht="13.8" hidden="false" customHeight="false" outlineLevel="0" collapsed="false">
      <c r="A4" s="5" t="s">
        <v>4</v>
      </c>
      <c r="B4" s="5" t="n">
        <v>246</v>
      </c>
    </row>
    <row r="5" customFormat="false" ht="13.8" hidden="false" customHeight="false" outlineLevel="0" collapsed="false">
      <c r="A5" s="5" t="s">
        <v>5</v>
      </c>
      <c r="B5" s="5" t="n">
        <v>255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8" activeCellId="0" sqref="N8"/>
    </sheetView>
  </sheetViews>
  <sheetFormatPr defaultColWidth="11.234375" defaultRowHeight="15" customHeight="true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13.21"/>
    <col collapsed="false" customWidth="true" hidden="false" outlineLevel="0" max="3" min="3" style="1" width="13.12"/>
    <col collapsed="false" customWidth="true" hidden="false" outlineLevel="0" max="4" min="4" style="1" width="18"/>
    <col collapsed="false" customWidth="true" hidden="false" outlineLevel="0" max="5" min="5" style="1" width="19.44"/>
    <col collapsed="false" customWidth="true" hidden="false" outlineLevel="0" max="6" min="6" style="1" width="15.11"/>
    <col collapsed="false" customWidth="true" hidden="false" outlineLevel="0" max="7" min="7" style="1" width="10.56"/>
    <col collapsed="false" customWidth="true" hidden="false" outlineLevel="0" max="10" min="8" style="1" width="12"/>
    <col collapsed="false" customWidth="true" hidden="false" outlineLevel="0" max="11" min="11" style="1" width="12.11"/>
    <col collapsed="false" customWidth="true" hidden="false" outlineLevel="0" max="28" min="12" style="1" width="10.56"/>
  </cols>
  <sheetData>
    <row r="1" customFormat="false" ht="15.75" hidden="false" customHeight="true" outlineLevel="0" collapsed="false">
      <c r="A1" s="6" t="s">
        <v>6</v>
      </c>
      <c r="B1" s="6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0</v>
      </c>
      <c r="K1" s="7" t="s">
        <v>1</v>
      </c>
      <c r="L1" s="7" t="s">
        <v>15</v>
      </c>
    </row>
    <row r="2" customFormat="false" ht="15.75" hidden="false" customHeight="true" outlineLevel="0" collapsed="false">
      <c r="A2" s="8" t="n">
        <v>1</v>
      </c>
      <c r="B2" s="8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n">
        <v>60</v>
      </c>
      <c r="H2" s="9" t="n">
        <f aca="false">60</f>
        <v>60</v>
      </c>
      <c r="I2" s="9" t="n">
        <f aca="false">G2-H2</f>
        <v>0</v>
      </c>
      <c r="J2" s="10" t="n">
        <f aca="false">(H2/(H2+I2))</f>
        <v>1</v>
      </c>
      <c r="K2" s="9" t="s">
        <v>4</v>
      </c>
      <c r="L2" s="11" t="s">
        <v>21</v>
      </c>
    </row>
    <row r="3" customFormat="false" ht="15.75" hidden="false" customHeight="true" outlineLevel="0" collapsed="false">
      <c r="A3" s="8" t="n">
        <v>1</v>
      </c>
      <c r="B3" s="8" t="s">
        <v>16</v>
      </c>
      <c r="C3" s="9" t="s">
        <v>17</v>
      </c>
      <c r="D3" s="9" t="s">
        <v>18</v>
      </c>
      <c r="E3" s="9" t="s">
        <v>22</v>
      </c>
      <c r="F3" s="9" t="s">
        <v>20</v>
      </c>
      <c r="G3" s="9" t="n">
        <v>10</v>
      </c>
      <c r="H3" s="9" t="n">
        <f aca="false">10</f>
        <v>10</v>
      </c>
      <c r="I3" s="9" t="n">
        <f aca="false">G3-H3</f>
        <v>0</v>
      </c>
      <c r="J3" s="10" t="n">
        <f aca="false">(H3/(H3+I3))</f>
        <v>1</v>
      </c>
      <c r="K3" s="9" t="s">
        <v>3</v>
      </c>
      <c r="L3" s="12" t="s">
        <v>21</v>
      </c>
    </row>
    <row r="4" customFormat="false" ht="15.75" hidden="false" customHeight="true" outlineLevel="0" collapsed="false">
      <c r="A4" s="8" t="n">
        <v>2</v>
      </c>
      <c r="B4" s="8" t="s">
        <v>16</v>
      </c>
      <c r="C4" s="9" t="s">
        <v>23</v>
      </c>
      <c r="D4" s="9" t="s">
        <v>24</v>
      </c>
      <c r="E4" s="9" t="s">
        <v>25</v>
      </c>
      <c r="F4" s="9" t="s">
        <v>26</v>
      </c>
      <c r="G4" s="9" t="n">
        <v>5</v>
      </c>
      <c r="H4" s="9" t="n">
        <f aca="false">5</f>
        <v>5</v>
      </c>
      <c r="I4" s="9" t="n">
        <f aca="false">G4-H4</f>
        <v>0</v>
      </c>
      <c r="J4" s="10" t="n">
        <f aca="false">(H4/(H4+I4))</f>
        <v>1</v>
      </c>
      <c r="K4" s="9" t="s">
        <v>3</v>
      </c>
      <c r="L4" s="12" t="s">
        <v>21</v>
      </c>
    </row>
    <row r="5" customFormat="false" ht="15.75" hidden="false" customHeight="true" outlineLevel="0" collapsed="false">
      <c r="A5" s="8" t="n">
        <v>3</v>
      </c>
      <c r="B5" s="8" t="s">
        <v>16</v>
      </c>
      <c r="C5" s="9" t="s">
        <v>27</v>
      </c>
      <c r="D5" s="9" t="s">
        <v>28</v>
      </c>
      <c r="E5" s="9" t="s">
        <v>29</v>
      </c>
      <c r="F5" s="9" t="s">
        <v>30</v>
      </c>
      <c r="G5" s="9" t="n">
        <v>34</v>
      </c>
      <c r="H5" s="9" t="n">
        <f aca="false">34</f>
        <v>34</v>
      </c>
      <c r="I5" s="9" t="n">
        <f aca="false">G5-H5</f>
        <v>0</v>
      </c>
      <c r="J5" s="10" t="n">
        <f aca="false">(H5/(H5+I5))</f>
        <v>1</v>
      </c>
      <c r="K5" s="9" t="s">
        <v>5</v>
      </c>
      <c r="L5" s="12" t="s">
        <v>21</v>
      </c>
    </row>
    <row r="6" customFormat="false" ht="15.75" hidden="false" customHeight="true" outlineLevel="0" collapsed="false">
      <c r="A6" s="8" t="n">
        <v>4</v>
      </c>
      <c r="B6" s="8" t="s">
        <v>16</v>
      </c>
      <c r="C6" s="9" t="s">
        <v>27</v>
      </c>
      <c r="D6" s="9" t="s">
        <v>31</v>
      </c>
      <c r="E6" s="9" t="s">
        <v>32</v>
      </c>
      <c r="F6" s="9" t="s">
        <v>30</v>
      </c>
      <c r="G6" s="9" t="n">
        <v>35</v>
      </c>
      <c r="H6" s="9" t="n">
        <f aca="false">35</f>
        <v>35</v>
      </c>
      <c r="I6" s="9" t="n">
        <f aca="false">G6-H6</f>
        <v>0</v>
      </c>
      <c r="J6" s="10" t="n">
        <f aca="false">(H6/(H6+I6))</f>
        <v>1</v>
      </c>
      <c r="K6" s="9" t="s">
        <v>5</v>
      </c>
      <c r="L6" s="12" t="s">
        <v>21</v>
      </c>
    </row>
    <row r="7" customFormat="false" ht="15.75" hidden="false" customHeight="true" outlineLevel="0" collapsed="false">
      <c r="A7" s="8" t="n">
        <v>5</v>
      </c>
      <c r="B7" s="8" t="s">
        <v>16</v>
      </c>
      <c r="C7" s="9" t="s">
        <v>27</v>
      </c>
      <c r="D7" s="9" t="s">
        <v>33</v>
      </c>
      <c r="E7" s="9" t="s">
        <v>34</v>
      </c>
      <c r="F7" s="9" t="s">
        <v>30</v>
      </c>
      <c r="G7" s="9" t="n">
        <v>36</v>
      </c>
      <c r="H7" s="9" t="n">
        <f aca="false">36</f>
        <v>36</v>
      </c>
      <c r="I7" s="9" t="n">
        <f aca="false">G7-H7</f>
        <v>0</v>
      </c>
      <c r="J7" s="10" t="n">
        <f aca="false">(H7/(H7+I7))</f>
        <v>1</v>
      </c>
      <c r="K7" s="9" t="s">
        <v>5</v>
      </c>
      <c r="L7" s="12" t="s">
        <v>21</v>
      </c>
    </row>
    <row r="8" customFormat="false" ht="15.75" hidden="false" customHeight="true" outlineLevel="0" collapsed="false">
      <c r="A8" s="8" t="n">
        <v>6</v>
      </c>
      <c r="B8" s="8" t="s">
        <v>16</v>
      </c>
      <c r="C8" s="9" t="s">
        <v>35</v>
      </c>
      <c r="D8" s="9" t="s">
        <v>36</v>
      </c>
      <c r="E8" s="9" t="s">
        <v>37</v>
      </c>
      <c r="F8" s="9" t="s">
        <v>38</v>
      </c>
      <c r="G8" s="9" t="n">
        <v>30</v>
      </c>
      <c r="H8" s="9" t="n">
        <f aca="false">30</f>
        <v>30</v>
      </c>
      <c r="I8" s="9" t="n">
        <f aca="false">G8-H8</f>
        <v>0</v>
      </c>
      <c r="J8" s="10" t="n">
        <f aca="false">(H8/(H8+I8))</f>
        <v>1</v>
      </c>
      <c r="K8" s="9" t="s">
        <v>3</v>
      </c>
      <c r="L8" s="12" t="s">
        <v>21</v>
      </c>
    </row>
    <row r="9" customFormat="false" ht="15.75" hidden="false" customHeight="true" outlineLevel="0" collapsed="false">
      <c r="A9" s="8" t="n">
        <v>6</v>
      </c>
      <c r="B9" s="8" t="s">
        <v>16</v>
      </c>
      <c r="C9" s="9" t="s">
        <v>35</v>
      </c>
      <c r="D9" s="9" t="s">
        <v>36</v>
      </c>
      <c r="E9" s="9" t="s">
        <v>39</v>
      </c>
      <c r="F9" s="9" t="s">
        <v>38</v>
      </c>
      <c r="G9" s="9" t="n">
        <v>20</v>
      </c>
      <c r="H9" s="9" t="n">
        <f aca="false">20</f>
        <v>20</v>
      </c>
      <c r="I9" s="9" t="n">
        <f aca="false">G9-H9</f>
        <v>0</v>
      </c>
      <c r="J9" s="10" t="n">
        <f aca="false">(H9/(H9+I9))</f>
        <v>1</v>
      </c>
      <c r="K9" s="9" t="s">
        <v>3</v>
      </c>
      <c r="L9" s="12" t="s">
        <v>21</v>
      </c>
    </row>
    <row r="10" customFormat="false" ht="15.75" hidden="false" customHeight="true" outlineLevel="0" collapsed="false">
      <c r="A10" s="8" t="n">
        <v>6</v>
      </c>
      <c r="B10" s="8" t="s">
        <v>16</v>
      </c>
      <c r="C10" s="9" t="s">
        <v>35</v>
      </c>
      <c r="D10" s="9" t="s">
        <v>36</v>
      </c>
      <c r="E10" s="9" t="s">
        <v>40</v>
      </c>
      <c r="F10" s="9" t="s">
        <v>38</v>
      </c>
      <c r="G10" s="9" t="n">
        <v>25</v>
      </c>
      <c r="H10" s="9" t="n">
        <f aca="false">25</f>
        <v>25</v>
      </c>
      <c r="I10" s="9" t="n">
        <f aca="false">G10-H10</f>
        <v>0</v>
      </c>
      <c r="J10" s="10" t="n">
        <f aca="false">(H10/(H10+I10))</f>
        <v>1</v>
      </c>
      <c r="K10" s="9" t="s">
        <v>4</v>
      </c>
      <c r="L10" s="12" t="s">
        <v>21</v>
      </c>
    </row>
    <row r="11" customFormat="false" ht="15.75" hidden="false" customHeight="true" outlineLevel="0" collapsed="false">
      <c r="A11" s="8" t="n">
        <v>6</v>
      </c>
      <c r="B11" s="8" t="s">
        <v>16</v>
      </c>
      <c r="C11" s="9" t="s">
        <v>35</v>
      </c>
      <c r="D11" s="9" t="s">
        <v>36</v>
      </c>
      <c r="E11" s="9" t="s">
        <v>41</v>
      </c>
      <c r="F11" s="9" t="s">
        <v>42</v>
      </c>
      <c r="G11" s="9" t="n">
        <v>40</v>
      </c>
      <c r="H11" s="9" t="n">
        <f aca="false">40</f>
        <v>40</v>
      </c>
      <c r="I11" s="9" t="n">
        <f aca="false">G11-H11</f>
        <v>0</v>
      </c>
      <c r="J11" s="10" t="n">
        <f aca="false">(H11/(H11+I11))</f>
        <v>1</v>
      </c>
      <c r="K11" s="9" t="s">
        <v>5</v>
      </c>
      <c r="L11" s="12" t="s">
        <v>21</v>
      </c>
    </row>
    <row r="12" customFormat="false" ht="15.75" hidden="false" customHeight="true" outlineLevel="0" collapsed="false">
      <c r="A12" s="8" t="n">
        <v>6</v>
      </c>
      <c r="B12" s="8" t="s">
        <v>16</v>
      </c>
      <c r="C12" s="9" t="s">
        <v>35</v>
      </c>
      <c r="D12" s="9" t="s">
        <v>36</v>
      </c>
      <c r="E12" s="9" t="s">
        <v>41</v>
      </c>
      <c r="F12" s="9" t="s">
        <v>43</v>
      </c>
      <c r="G12" s="9" t="n">
        <v>41</v>
      </c>
      <c r="H12" s="9" t="n">
        <f aca="false">41</f>
        <v>41</v>
      </c>
      <c r="I12" s="9" t="n">
        <f aca="false">G12-H12</f>
        <v>0</v>
      </c>
      <c r="J12" s="10" t="n">
        <f aca="false">(H12/(H12+I12))</f>
        <v>1</v>
      </c>
      <c r="K12" s="9" t="s">
        <v>5</v>
      </c>
      <c r="L12" s="12" t="s">
        <v>21</v>
      </c>
    </row>
    <row r="13" customFormat="false" ht="15.75" hidden="false" customHeight="true" outlineLevel="0" collapsed="false">
      <c r="A13" s="8" t="n">
        <v>6</v>
      </c>
      <c r="B13" s="8" t="s">
        <v>16</v>
      </c>
      <c r="C13" s="9" t="s">
        <v>35</v>
      </c>
      <c r="D13" s="9" t="s">
        <v>36</v>
      </c>
      <c r="E13" s="9" t="s">
        <v>44</v>
      </c>
      <c r="F13" s="9" t="s">
        <v>42</v>
      </c>
      <c r="G13" s="9" t="n">
        <v>15</v>
      </c>
      <c r="H13" s="9" t="n">
        <f aca="false">15</f>
        <v>15</v>
      </c>
      <c r="I13" s="9" t="n">
        <f aca="false">G13-H13</f>
        <v>0</v>
      </c>
      <c r="J13" s="10" t="n">
        <f aca="false">(H13/(H13+I13))</f>
        <v>1</v>
      </c>
      <c r="K13" s="9" t="s">
        <v>4</v>
      </c>
      <c r="L13" s="12" t="s">
        <v>21</v>
      </c>
    </row>
    <row r="14" customFormat="false" ht="15.75" hidden="false" customHeight="true" outlineLevel="0" collapsed="false">
      <c r="A14" s="8" t="n">
        <v>6</v>
      </c>
      <c r="B14" s="8" t="s">
        <v>16</v>
      </c>
      <c r="C14" s="9" t="s">
        <v>35</v>
      </c>
      <c r="D14" s="9" t="s">
        <v>36</v>
      </c>
      <c r="E14" s="9" t="s">
        <v>44</v>
      </c>
      <c r="F14" s="9" t="s">
        <v>43</v>
      </c>
      <c r="G14" s="9" t="n">
        <v>15</v>
      </c>
      <c r="H14" s="9" t="n">
        <f aca="false">15</f>
        <v>15</v>
      </c>
      <c r="I14" s="9" t="n">
        <f aca="false">G14-H14</f>
        <v>0</v>
      </c>
      <c r="J14" s="10" t="n">
        <f aca="false">(H14/(H14+I14))</f>
        <v>1</v>
      </c>
      <c r="K14" s="9" t="s">
        <v>3</v>
      </c>
      <c r="L14" s="12" t="s">
        <v>21</v>
      </c>
    </row>
    <row r="15" customFormat="false" ht="15.75" hidden="false" customHeight="true" outlineLevel="0" collapsed="false">
      <c r="A15" s="8" t="n">
        <v>7</v>
      </c>
      <c r="B15" s="8" t="s">
        <v>16</v>
      </c>
      <c r="C15" s="9" t="s">
        <v>45</v>
      </c>
      <c r="D15" s="9" t="s">
        <v>46</v>
      </c>
      <c r="E15" s="9" t="s">
        <v>47</v>
      </c>
      <c r="F15" s="9" t="s">
        <v>38</v>
      </c>
      <c r="G15" s="9" t="n">
        <v>40</v>
      </c>
      <c r="H15" s="9" t="n">
        <f aca="false">40</f>
        <v>40</v>
      </c>
      <c r="I15" s="9" t="n">
        <f aca="false">G15-H15</f>
        <v>0</v>
      </c>
      <c r="J15" s="10" t="n">
        <f aca="false">(H15/(H15+I15))</f>
        <v>1</v>
      </c>
      <c r="K15" s="9" t="s">
        <v>5</v>
      </c>
      <c r="L15" s="12" t="s">
        <v>21</v>
      </c>
    </row>
    <row r="16" customFormat="false" ht="15.75" hidden="false" customHeight="true" outlineLevel="0" collapsed="false">
      <c r="A16" s="8" t="n">
        <v>8</v>
      </c>
      <c r="B16" s="8" t="s">
        <v>16</v>
      </c>
      <c r="C16" s="9" t="s">
        <v>48</v>
      </c>
      <c r="D16" s="9" t="s">
        <v>49</v>
      </c>
      <c r="E16" s="9" t="s">
        <v>50</v>
      </c>
      <c r="F16" s="9" t="s">
        <v>38</v>
      </c>
      <c r="G16" s="9" t="n">
        <v>36</v>
      </c>
      <c r="H16" s="9" t="n">
        <f aca="false">36</f>
        <v>36</v>
      </c>
      <c r="I16" s="9" t="n">
        <f aca="false">G16-H16</f>
        <v>0</v>
      </c>
      <c r="J16" s="10" t="n">
        <f aca="false">(H16/(H16+I16))</f>
        <v>1</v>
      </c>
      <c r="K16" s="9" t="s">
        <v>4</v>
      </c>
      <c r="L16" s="12" t="s">
        <v>21</v>
      </c>
    </row>
    <row r="17" customFormat="false" ht="15.75" hidden="false" customHeight="true" outlineLevel="0" collapsed="false">
      <c r="A17" s="8" t="n">
        <v>9</v>
      </c>
      <c r="B17" s="8" t="s">
        <v>16</v>
      </c>
      <c r="C17" s="9" t="s">
        <v>51</v>
      </c>
      <c r="D17" s="9" t="s">
        <v>52</v>
      </c>
      <c r="E17" s="9" t="s">
        <v>53</v>
      </c>
      <c r="F17" s="9" t="s">
        <v>30</v>
      </c>
      <c r="G17" s="9" t="n">
        <v>33</v>
      </c>
      <c r="H17" s="9" t="n">
        <f aca="false">33</f>
        <v>33</v>
      </c>
      <c r="I17" s="9" t="n">
        <f aca="false">G17-H17</f>
        <v>0</v>
      </c>
      <c r="J17" s="10" t="n">
        <f aca="false">(H17/(H17+I17))</f>
        <v>1</v>
      </c>
      <c r="K17" s="9" t="s">
        <v>4</v>
      </c>
      <c r="L17" s="12" t="s">
        <v>21</v>
      </c>
    </row>
    <row r="18" customFormat="false" ht="15.75" hidden="false" customHeight="true" outlineLevel="0" collapsed="false">
      <c r="A18" s="8" t="n">
        <v>10</v>
      </c>
      <c r="B18" s="8" t="s">
        <v>16</v>
      </c>
      <c r="C18" s="9" t="s">
        <v>54</v>
      </c>
      <c r="D18" s="9" t="s">
        <v>55</v>
      </c>
      <c r="E18" s="9" t="s">
        <v>56</v>
      </c>
      <c r="F18" s="9" t="s">
        <v>38</v>
      </c>
      <c r="G18" s="9" t="n">
        <v>29</v>
      </c>
      <c r="H18" s="9" t="n">
        <f aca="false">29</f>
        <v>29</v>
      </c>
      <c r="I18" s="9" t="n">
        <f aca="false">G18-H18</f>
        <v>0</v>
      </c>
      <c r="J18" s="10" t="n">
        <f aca="false">(H18/(H18+I18))</f>
        <v>1</v>
      </c>
      <c r="K18" s="9" t="s">
        <v>4</v>
      </c>
      <c r="L18" s="12" t="s">
        <v>21</v>
      </c>
    </row>
    <row r="19" customFormat="false" ht="15.75" hidden="false" customHeight="true" outlineLevel="0" collapsed="false">
      <c r="A19" s="8" t="n">
        <v>11</v>
      </c>
      <c r="B19" s="8" t="s">
        <v>16</v>
      </c>
      <c r="C19" s="9" t="s">
        <v>51</v>
      </c>
      <c r="D19" s="9" t="s">
        <v>57</v>
      </c>
      <c r="E19" s="9" t="s">
        <v>58</v>
      </c>
      <c r="F19" s="9" t="s">
        <v>30</v>
      </c>
      <c r="G19" s="9" t="n">
        <v>25</v>
      </c>
      <c r="H19" s="9" t="n">
        <f aca="false">25</f>
        <v>25</v>
      </c>
      <c r="I19" s="9" t="n">
        <f aca="false">G19-H19</f>
        <v>0</v>
      </c>
      <c r="J19" s="10" t="n">
        <f aca="false">(H19/(H19+I19))</f>
        <v>1</v>
      </c>
      <c r="K19" s="9" t="s">
        <v>3</v>
      </c>
      <c r="L19" s="12" t="s">
        <v>21</v>
      </c>
    </row>
    <row r="20" customFormat="false" ht="15.75" hidden="false" customHeight="true" outlineLevel="0" collapsed="false">
      <c r="A20" s="8" t="n">
        <v>12</v>
      </c>
      <c r="B20" s="8" t="s">
        <v>16</v>
      </c>
      <c r="C20" s="9" t="s">
        <v>59</v>
      </c>
      <c r="D20" s="9" t="s">
        <v>60</v>
      </c>
      <c r="E20" s="9" t="s">
        <v>61</v>
      </c>
      <c r="F20" s="9" t="s">
        <v>38</v>
      </c>
      <c r="G20" s="9" t="n">
        <v>25</v>
      </c>
      <c r="H20" s="9" t="n">
        <f aca="false">25</f>
        <v>25</v>
      </c>
      <c r="I20" s="9" t="n">
        <f aca="false">G20-H20</f>
        <v>0</v>
      </c>
      <c r="J20" s="10" t="n">
        <f aca="false">(H20/(H20+I20))</f>
        <v>1</v>
      </c>
      <c r="K20" s="9" t="s">
        <v>3</v>
      </c>
      <c r="L20" s="12" t="s">
        <v>21</v>
      </c>
    </row>
    <row r="21" customFormat="false" ht="15.75" hidden="false" customHeight="true" outlineLevel="0" collapsed="false">
      <c r="A21" s="8" t="n">
        <v>13</v>
      </c>
      <c r="B21" s="8" t="s">
        <v>16</v>
      </c>
      <c r="C21" s="9" t="s">
        <v>62</v>
      </c>
      <c r="D21" s="9" t="s">
        <v>63</v>
      </c>
      <c r="E21" s="9" t="s">
        <v>64</v>
      </c>
      <c r="F21" s="9" t="s">
        <v>38</v>
      </c>
      <c r="G21" s="9" t="n">
        <v>29</v>
      </c>
      <c r="H21" s="9" t="n">
        <f aca="false">29</f>
        <v>29</v>
      </c>
      <c r="I21" s="9" t="n">
        <f aca="false">G21-H21</f>
        <v>0</v>
      </c>
      <c r="J21" s="10" t="n">
        <f aca="false">(H21/(H21+I21))</f>
        <v>1</v>
      </c>
      <c r="K21" s="9" t="s">
        <v>5</v>
      </c>
      <c r="L21" s="12" t="s">
        <v>21</v>
      </c>
    </row>
    <row r="22" customFormat="false" ht="15.75" hidden="false" customHeight="true" outlineLevel="0" collapsed="false">
      <c r="A22" s="8" t="n">
        <v>14</v>
      </c>
      <c r="B22" s="8" t="s">
        <v>16</v>
      </c>
      <c r="C22" s="9" t="s">
        <v>65</v>
      </c>
      <c r="D22" s="9" t="s">
        <v>66</v>
      </c>
      <c r="E22" s="9" t="s">
        <v>67</v>
      </c>
      <c r="F22" s="9" t="s">
        <v>42</v>
      </c>
      <c r="G22" s="9" t="n">
        <v>30</v>
      </c>
      <c r="H22" s="9" t="n">
        <f aca="false">30</f>
        <v>30</v>
      </c>
      <c r="I22" s="9" t="n">
        <f aca="false">G22-H22</f>
        <v>0</v>
      </c>
      <c r="J22" s="10" t="n">
        <f aca="false">(H22/(H22+I22))</f>
        <v>1</v>
      </c>
      <c r="K22" s="9" t="s">
        <v>3</v>
      </c>
      <c r="L22" s="12" t="s">
        <v>21</v>
      </c>
    </row>
    <row r="23" customFormat="false" ht="15.75" hidden="false" customHeight="true" outlineLevel="0" collapsed="false">
      <c r="A23" s="8" t="n">
        <v>15</v>
      </c>
      <c r="B23" s="8" t="s">
        <v>16</v>
      </c>
      <c r="C23" s="9" t="s">
        <v>51</v>
      </c>
      <c r="D23" s="9" t="s">
        <v>68</v>
      </c>
      <c r="E23" s="9" t="s">
        <v>69</v>
      </c>
      <c r="F23" s="9" t="s">
        <v>42</v>
      </c>
      <c r="G23" s="9" t="n">
        <v>31</v>
      </c>
      <c r="H23" s="9" t="n">
        <f aca="false">31</f>
        <v>31</v>
      </c>
      <c r="I23" s="9" t="n">
        <f aca="false">G23-H23</f>
        <v>0</v>
      </c>
      <c r="J23" s="10" t="n">
        <f aca="false">(H23/(H23+I23))</f>
        <v>1</v>
      </c>
      <c r="K23" s="9" t="s">
        <v>3</v>
      </c>
      <c r="L23" s="12" t="s">
        <v>21</v>
      </c>
    </row>
    <row r="24" customFormat="false" ht="15.75" hidden="false" customHeight="true" outlineLevel="0" collapsed="false">
      <c r="A24" s="8" t="n">
        <v>16</v>
      </c>
      <c r="B24" s="8" t="s">
        <v>16</v>
      </c>
      <c r="C24" s="9" t="s">
        <v>70</v>
      </c>
      <c r="D24" s="9" t="s">
        <v>71</v>
      </c>
      <c r="E24" s="9" t="s">
        <v>72</v>
      </c>
      <c r="F24" s="9" t="s">
        <v>43</v>
      </c>
      <c r="G24" s="9" t="n">
        <v>15</v>
      </c>
      <c r="H24" s="9" t="n">
        <f aca="false">15</f>
        <v>15</v>
      </c>
      <c r="I24" s="9" t="n">
        <f aca="false">G24-H24</f>
        <v>0</v>
      </c>
      <c r="J24" s="10" t="n">
        <f aca="false">(H24/(H24+I24))</f>
        <v>1</v>
      </c>
      <c r="K24" s="9" t="s">
        <v>4</v>
      </c>
      <c r="L24" s="12" t="s">
        <v>21</v>
      </c>
    </row>
    <row r="25" customFormat="false" ht="15.75" hidden="false" customHeight="true" outlineLevel="0" collapsed="false">
      <c r="A25" s="8" t="n">
        <v>17</v>
      </c>
      <c r="B25" s="8" t="s">
        <v>16</v>
      </c>
      <c r="C25" s="9" t="s">
        <v>73</v>
      </c>
      <c r="D25" s="9" t="s">
        <v>74</v>
      </c>
      <c r="E25" s="9" t="s">
        <v>75</v>
      </c>
      <c r="F25" s="9" t="s">
        <v>76</v>
      </c>
      <c r="G25" s="9" t="n">
        <v>33</v>
      </c>
      <c r="H25" s="9" t="n">
        <f aca="false">33</f>
        <v>33</v>
      </c>
      <c r="I25" s="9" t="n">
        <f aca="false">G25-H25</f>
        <v>0</v>
      </c>
      <c r="J25" s="10" t="n">
        <f aca="false">(H25/(H25+I25))</f>
        <v>1</v>
      </c>
      <c r="K25" s="9" t="s">
        <v>4</v>
      </c>
      <c r="L25" s="12" t="s">
        <v>21</v>
      </c>
    </row>
    <row r="26" customFormat="false" ht="15.75" hidden="false" customHeight="true" outlineLevel="0" collapsed="false">
      <c r="A26" s="8" t="n">
        <v>18</v>
      </c>
      <c r="B26" s="8" t="s">
        <v>16</v>
      </c>
      <c r="C26" s="9" t="s">
        <v>77</v>
      </c>
      <c r="D26" s="9" t="s">
        <v>78</v>
      </c>
      <c r="E26" s="9" t="s">
        <v>79</v>
      </c>
      <c r="F26" s="9" t="s">
        <v>80</v>
      </c>
      <c r="G26" s="9" t="n">
        <v>50</v>
      </c>
      <c r="H26" s="9" t="n">
        <f aca="false">50</f>
        <v>50</v>
      </c>
      <c r="I26" s="9" t="n">
        <f aca="false">G26-H26</f>
        <v>0</v>
      </c>
      <c r="J26" s="10" t="n">
        <f aca="false">(H26/(H26+I26))</f>
        <v>1</v>
      </c>
      <c r="K26" s="9" t="s">
        <v>3</v>
      </c>
      <c r="L26" s="12" t="s">
        <v>21</v>
      </c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>
      <c r="A30" s="8"/>
      <c r="B30" s="8"/>
      <c r="C30" s="9"/>
      <c r="D30" s="9"/>
      <c r="E30" s="9"/>
      <c r="F30" s="9"/>
      <c r="G30" s="9"/>
      <c r="H30" s="9"/>
      <c r="I30" s="9"/>
      <c r="J30" s="10"/>
      <c r="K30" s="9"/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234375" defaultRowHeight="15" customHeight="true" zeroHeight="false" outlineLevelRow="0" outlineLevelCol="0"/>
  <cols>
    <col collapsed="false" customWidth="true" hidden="false" outlineLevel="0" max="1" min="1" style="1" width="25.44"/>
    <col collapsed="false" customWidth="true" hidden="false" outlineLevel="0" max="2" min="2" style="1" width="25.78"/>
    <col collapsed="false" customWidth="true" hidden="false" outlineLevel="0" max="3" min="3" style="1" width="30.78"/>
    <col collapsed="false" customWidth="true" hidden="false" outlineLevel="0" max="4" min="4" style="1" width="12.44"/>
    <col collapsed="false" customWidth="true" hidden="false" outlineLevel="0" max="5" min="5" style="1" width="22.44"/>
    <col collapsed="false" customWidth="true" hidden="false" outlineLevel="0" max="26" min="6" style="1" width="10.56"/>
  </cols>
  <sheetData>
    <row r="1" customFormat="false" ht="15.75" hidden="false" customHeight="true" outlineLevel="0" collapsed="false">
      <c r="A1" s="7" t="s">
        <v>81</v>
      </c>
      <c r="B1" s="7" t="s">
        <v>82</v>
      </c>
      <c r="C1" s="7" t="s">
        <v>83</v>
      </c>
      <c r="D1" s="7" t="s">
        <v>84</v>
      </c>
      <c r="E1" s="7" t="s">
        <v>85</v>
      </c>
    </row>
    <row r="2" customFormat="false" ht="15.75" hidden="false" customHeight="true" outlineLevel="0" collapsed="false">
      <c r="A2" s="9" t="n">
        <v>742</v>
      </c>
      <c r="B2" s="9" t="n">
        <v>742</v>
      </c>
      <c r="C2" s="9" t="n">
        <f aca="false">SUM('liste des taches'!I8:I339)</f>
        <v>0</v>
      </c>
      <c r="D2" s="10" t="n">
        <f aca="false">(B2/(B2+C2))</f>
        <v>1</v>
      </c>
      <c r="E2" s="13" t="n">
        <f aca="false">((B2+C2)-A2)/A2</f>
        <v>0</v>
      </c>
    </row>
    <row r="3" customFormat="false" ht="15.75" hidden="false" customHeight="true" outlineLevel="0" collapsed="false">
      <c r="C3" s="9" t="n">
        <f aca="false">C2/60</f>
        <v>0</v>
      </c>
      <c r="D3" s="9" t="s">
        <v>86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234375" defaultRowHeight="15" customHeight="true" zeroHeight="false" outlineLevelRow="0" outlineLevelCol="0"/>
  <cols>
    <col collapsed="false" customWidth="true" hidden="false" outlineLevel="0" max="28" min="1" style="1" width="10.56"/>
  </cols>
  <sheetData>
    <row r="1" customFormat="false" ht="15.75" hidden="false" customHeight="true" outlineLevel="0" collapsed="false">
      <c r="A1" s="6" t="s">
        <v>6</v>
      </c>
      <c r="B1" s="14" t="s">
        <v>87</v>
      </c>
      <c r="C1" s="15" t="n">
        <v>46038</v>
      </c>
      <c r="D1" s="15" t="n">
        <v>46039</v>
      </c>
      <c r="E1" s="15"/>
    </row>
    <row r="2" customFormat="false" ht="15.75" hidden="false" customHeight="true" outlineLevel="0" collapsed="false">
      <c r="A2" s="8" t="n">
        <v>1</v>
      </c>
      <c r="B2" s="9" t="n">
        <f aca="false">SUM(D2:P2)</f>
        <v>20</v>
      </c>
      <c r="C2" s="8"/>
      <c r="D2" s="8" t="n">
        <v>20</v>
      </c>
    </row>
    <row r="3" customFormat="false" ht="15.75" hidden="false" customHeight="true" outlineLevel="0" collapsed="false">
      <c r="A3" s="8" t="n">
        <v>2</v>
      </c>
      <c r="B3" s="9" t="n">
        <f aca="false">SUM(D3:P3)</f>
        <v>0</v>
      </c>
    </row>
    <row r="4" customFormat="false" ht="15.75" hidden="false" customHeight="true" outlineLevel="0" collapsed="false">
      <c r="A4" s="8" t="n">
        <v>3</v>
      </c>
      <c r="B4" s="9" t="n">
        <f aca="false">SUM(D4:P4)</f>
        <v>10</v>
      </c>
      <c r="C4" s="8" t="n">
        <v>20</v>
      </c>
      <c r="D4" s="8" t="n">
        <v>10</v>
      </c>
    </row>
    <row r="5" customFormat="false" ht="15.75" hidden="false" customHeight="true" outlineLevel="0" collapsed="false">
      <c r="A5" s="8" t="n">
        <v>4</v>
      </c>
      <c r="B5" s="9" t="n">
        <f aca="false">SUM(D5:P5)</f>
        <v>0</v>
      </c>
    </row>
    <row r="6" customFormat="false" ht="15.75" hidden="false" customHeight="true" outlineLevel="0" collapsed="false">
      <c r="A6" s="8" t="n">
        <v>5</v>
      </c>
      <c r="B6" s="9" t="n">
        <f aca="false">SUM(D6:P6)</f>
        <v>0</v>
      </c>
    </row>
    <row r="7" customFormat="false" ht="15.75" hidden="false" customHeight="true" outlineLevel="0" collapsed="false">
      <c r="A7" s="8" t="n">
        <v>6</v>
      </c>
      <c r="B7" s="9" t="n">
        <f aca="false">SUM(D7:P7)</f>
        <v>0</v>
      </c>
    </row>
    <row r="8" customFormat="false" ht="15.75" hidden="false" customHeight="true" outlineLevel="0" collapsed="false">
      <c r="A8" s="8" t="n">
        <v>7</v>
      </c>
      <c r="B8" s="9" t="n">
        <f aca="false">SUM(D8:P8)</f>
        <v>0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2026-02-17T15:26:52Z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